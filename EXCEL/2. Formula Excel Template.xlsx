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10452B-288B-42CD-B230-846023780902}" xr6:coauthVersionLast="47" xr6:coauthVersionMax="47" xr10:uidLastSave="{00000000-0000-0000-0000-000000000000}"/>
  <bookViews>
    <workbookView xWindow="2592" yWindow="2592" windowWidth="16589" windowHeight="9032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3" l="1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3" i="3"/>
  <c r="J4" i="3"/>
  <c r="J5" i="3"/>
  <c r="J6" i="3"/>
  <c r="J7" i="3"/>
  <c r="J8" i="3"/>
  <c r="J9" i="3"/>
  <c r="J10" i="3"/>
  <c r="J2" i="3"/>
  <c r="L3" i="3"/>
  <c r="L4" i="3"/>
  <c r="L5" i="3"/>
  <c r="L6" i="3"/>
  <c r="L7" i="3"/>
  <c r="L8" i="3"/>
  <c r="L9" i="3"/>
  <c r="L10" i="3"/>
  <c r="K3" i="3"/>
  <c r="K4" i="3"/>
  <c r="K5" i="3"/>
  <c r="K6" i="3"/>
  <c r="K7" i="3"/>
  <c r="K8" i="3"/>
  <c r="K9" i="3"/>
  <c r="K10" i="3"/>
  <c r="L2" i="3"/>
  <c r="K2" i="3"/>
  <c r="M3" i="4"/>
  <c r="M4" i="4"/>
  <c r="M5" i="4"/>
  <c r="M6" i="4"/>
  <c r="M7" i="4"/>
  <c r="M8" i="4"/>
  <c r="M9" i="4"/>
  <c r="M10" i="4"/>
  <c r="M2" i="4"/>
  <c r="L2" i="4"/>
  <c r="L3" i="4"/>
  <c r="L4" i="4"/>
  <c r="L5" i="4"/>
  <c r="L6" i="4"/>
  <c r="L7" i="4"/>
  <c r="L8" i="4"/>
  <c r="L9" i="4"/>
  <c r="L10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L3" i="8"/>
  <c r="L4" i="8"/>
  <c r="L5" i="8"/>
  <c r="L6" i="8"/>
  <c r="L7" i="8"/>
  <c r="L8" i="8"/>
  <c r="L9" i="8"/>
  <c r="L10" i="8"/>
  <c r="L2" i="8"/>
  <c r="J3" i="8"/>
  <c r="J4" i="8"/>
  <c r="J5" i="8"/>
  <c r="J6" i="8"/>
  <c r="J7" i="8"/>
  <c r="J8" i="8"/>
  <c r="J9" i="8"/>
  <c r="J10" i="8"/>
  <c r="J2" i="8"/>
  <c r="K3" i="8"/>
  <c r="K4" i="8"/>
  <c r="K5" i="8"/>
  <c r="K6" i="8"/>
  <c r="K7" i="8"/>
  <c r="K8" i="8"/>
  <c r="K9" i="8"/>
  <c r="K10" i="8"/>
  <c r="K2" i="8"/>
  <c r="K2" i="9"/>
  <c r="J3" i="9"/>
  <c r="K3" i="9"/>
  <c r="J2" i="9"/>
  <c r="H11" i="1"/>
  <c r="H12" i="1"/>
</calcChain>
</file>

<file path=xl/sharedStrings.xml><?xml version="1.0" encoding="utf-8"?>
<sst xmlns="http://schemas.openxmlformats.org/spreadsheetml/2006/main" count="587" uniqueCount="107">
  <si>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</si>
  <si>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</si>
  <si>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</si>
  <si>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</si>
  <si>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</si>
  <si>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</si>
  <si>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</si>
  <si>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</si>
  <si>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</si>
  <si>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</si>
  <si>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</si>
  <si>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</si>
  <si>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</si>
  <si>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</si>
  <si>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</si>
  <si>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</si>
  <si>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</si>
  <si>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</si>
  <si>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</si>
  <si>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</si>
  <si>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</si>
  <si>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</si>
  <si>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</si>
  <si>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</si>
  <si>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</si>
  <si>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</si>
  <si>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</si>
  <si>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</si>
  <si>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</si>
  <si>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</si>
  <si>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</si>
  <si>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</si>
  <si>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</si>
  <si>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</si>
  <si>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</si>
  <si>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</si>
  <si>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</si>
  <si>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</si>
  <si>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</si>
  <si>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</si>
  <si>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</si>
  <si>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</si>
  <si>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</si>
  <si>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</si>
  <si>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</si>
  <si>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</si>
  <si>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</si>
  <si>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</si>
  <si>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</si>
  <si>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</si>
  <si>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</si>
  <si>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</si>
  <si>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</si>
  <si>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</si>
  <si>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</si>
  <si>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</si>
  <si>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</si>
  <si>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</si>
  <si>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</si>
  <si>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</si>
  <si>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</si>
  <si>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</si>
  <si>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</si>
  <si>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</si>
  <si>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</si>
  <si>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</si>
  <si>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</si>
  <si>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</si>
  <si>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</si>
  <si>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</si>
  <si>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</si>
  <si>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</si>
  <si>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</si>
  <si>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</si>
  <si>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</si>
  <si>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</si>
  <si>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</si>
  <si>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</si>
  <si>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</si>
  <si>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</si>
  <si>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</si>
  <si>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</si>
  <si>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</si>
  <si>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</si>
  <si>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</si>
  <si>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</si>
  <si>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</si>
  <si>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LEN</t>
  </si>
  <si>
    <t>change / to -</t>
  </si>
  <si>
    <t>clear white space left and right, whitespace between words doesn't count</t>
  </si>
  <si>
    <t>still date</t>
  </si>
  <si>
    <t>changed to text</t>
  </si>
  <si>
    <t>proved by right function to take year</t>
  </si>
  <si>
    <t>take 3 char from left</t>
  </si>
  <si>
    <t>take 1 char from right</t>
  </si>
  <si>
    <t>take 4 char from right to retrieve year</t>
  </si>
  <si>
    <t>check the char length of a word</t>
  </si>
  <si>
    <t>logical test;true;false</t>
  </si>
  <si>
    <t>logical test1;true1;logical test2;true2</t>
  </si>
  <si>
    <t>no false value</t>
  </si>
  <si>
    <t>normal sum</t>
  </si>
  <si>
    <t>sum if met condition when salary is greater than 60.000</t>
  </si>
  <si>
    <t>sum if met two condition or more (age is greater than 30 and gender is female)</t>
  </si>
  <si>
    <t>just count all salary</t>
  </si>
  <si>
    <t>count if salary if greater than 45000</t>
  </si>
  <si>
    <t>count if employee id is greater than 1005 and the gender is male</t>
  </si>
  <si>
    <t>before use days or network days function, make sure check the format of the column is dd/mm/yyyy or mm/dd/yyyy where the date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</si>
</sst>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2" sqref="K2"/>
    </sheetView>
  </sheetViews>
  <sheetFormatPr defaultColWidth="13.69921875" defaultRowHeight="14.4" x14ac:dyDescent="0.3"/>
  <cols>
    <col min="1" max="1" width="10.796875" bestFit="1" customWidth="1"/>
    <col min="4" max="4" width="7.69921875" customWidth="1"/>
  </cols>
  <sheetData>
    <row r="1" spans="1:11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79</v>
      </c>
      <c r="K1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L13"/>
  <sheetViews>
    <sheetView topLeftCell="B1" workbookViewId="0">
      <selection activeCell="L14" sqref="L14"/>
    </sheetView>
  </sheetViews>
  <sheetFormatPr defaultColWidth="13.69921875" defaultRowHeight="14.4" x14ac:dyDescent="0.3"/>
  <cols>
    <col min="1" max="1" width="10.796875" bestFit="1" customWidth="1"/>
    <col min="4" max="4" width="7.69921875" customWidth="1"/>
    <col min="11" max="11" width="18.8984375" customWidth="1"/>
    <col min="12" max="12" width="18" customWidth="1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81</v>
      </c>
      <c r="K1" t="s">
        <v>81</v>
      </c>
      <c r="L1" t="s">
        <v>82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>
        <f>IF(D2&gt;30,"Old","Young")</f>
        <v>Young</v>
      </c>
      <c r="K2" t="str">
        <f>IF(E2:E10 = "Male","Man","Woman")</f>
        <v>Man</v>
      </c>
      <c r="L2" t="str">
        <f>_xlfn.IFS(F2 = "Salesman","Sales",F2="HR","Fire Immediately",F2="Regional Manager","Give Christmas Bonus")</f>
        <v>Sales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f t="shared" ref="J3:J10" si="0">IF(D3&gt;30,"Old","Young")</f>
        <v>Young</v>
      </c>
      <c r="K3" t="str">
        <f t="shared" ref="K3:K10" si="1">IF(E3:E11 = "Male","Man","Woman")</f>
        <v>Woman</v>
      </c>
      <c r="L3" t="e">
        <f t="shared" ref="L3:L10" si="2">_xlfn.IFS(F3 = "Salesman","Sales",F3="HR","Fire Immediately",F3="Regional Manager","Give Christmas Bonus")</f>
        <v>#N/A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str">
        <f t="shared" si="1"/>
        <v>Man</v>
      </c>
      <c r="L4" t="str">
        <f t="shared" si="2"/>
        <v>Sales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str">
        <f t="shared" si="1"/>
        <v>Woman</v>
      </c>
      <c r="L5" t="e">
        <f t="shared" si="2"/>
        <v>#N/A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str">
        <f t="shared" si="1"/>
        <v>Man</v>
      </c>
      <c r="L6" t="str">
        <f t="shared" si="2"/>
        <v>Fire Immediately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str">
        <f t="shared" si="1"/>
        <v>Man</v>
      </c>
      <c r="L7" t="str">
        <f t="shared" si="2"/>
        <v>Give Christmas Bonus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str">
        <f t="shared" si="1"/>
        <v>Woman</v>
      </c>
      <c r="L8" t="e">
        <f t="shared" si="2"/>
        <v>#N/A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str">
        <f t="shared" si="1"/>
        <v>Man</v>
      </c>
      <c r="L9" t="str">
        <f t="shared" si="2"/>
        <v>Sales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str">
        <f t="shared" si="1"/>
        <v>Man</v>
      </c>
      <c r="L10" t="e">
        <f t="shared" si="2"/>
        <v>#N/A</v>
      </c>
    </row>
    <row r="12" spans="1:12" x14ac:dyDescent="0.3">
      <c r="J12" t="s">
        <v>97</v>
      </c>
      <c r="L12" t="s">
        <v>98</v>
      </c>
    </row>
    <row r="13" spans="1:12" x14ac:dyDescent="0.3">
      <c r="L13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2"/>
  <sheetViews>
    <sheetView workbookViewId="0">
      <selection activeCell="J13" sqref="J13"/>
    </sheetView>
  </sheetViews>
  <sheetFormatPr defaultColWidth="10.8984375" defaultRowHeight="14.4" x14ac:dyDescent="0.3"/>
  <cols>
    <col min="1" max="1" width="10.796875" bestFit="1" customWidth="1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87</v>
      </c>
      <c r="L1" t="s">
        <v>34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LEN(C2)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>
        <f t="shared" ref="J3:J10" si="0">LEN(C3)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>
        <f t="shared" si="0"/>
        <v>6</v>
      </c>
    </row>
    <row r="12" spans="1:12" x14ac:dyDescent="0.3">
      <c r="J12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4"/>
  <sheetViews>
    <sheetView topLeftCell="C1" workbookViewId="0">
      <selection activeCell="M15" sqref="M15"/>
    </sheetView>
  </sheetViews>
  <sheetFormatPr defaultColWidth="14.59765625" defaultRowHeight="14.4" x14ac:dyDescent="0.3"/>
  <cols>
    <col min="4" max="4" width="8" customWidth="1"/>
    <col min="10" max="10" width="32.296875" bestFit="1" customWidth="1"/>
  </cols>
  <sheetData>
    <row r="1" spans="1:13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37</v>
      </c>
      <c r="K1" t="s">
        <v>85</v>
      </c>
      <c r="L1" t="s">
        <v>86</v>
      </c>
      <c r="M1" t="s">
        <v>86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3" t="s">
        <v>47</v>
      </c>
      <c r="I2" s="3" t="s">
        <v>55</v>
      </c>
      <c r="J2" s="1" t="s">
        <v>38</v>
      </c>
      <c r="K2" t="str">
        <f>LEFT(B2,3)</f>
        <v>Jim</v>
      </c>
      <c r="L2" t="str">
        <f>RIGHT(A2,1)</f>
        <v>1</v>
      </c>
      <c r="M2" t="str">
        <f>RIGHT(H2,4)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3" t="s">
        <v>48</v>
      </c>
      <c r="I3" s="3" t="s">
        <v>56</v>
      </c>
      <c r="J3" s="1" t="s">
        <v>39</v>
      </c>
      <c r="K3" t="str">
        <f t="shared" ref="K3:K10" si="0">LEFT(B3,3)</f>
        <v>Pam</v>
      </c>
      <c r="L3" t="str">
        <f t="shared" ref="L3:L10" si="1">RIGHT(A3,1)</f>
        <v>2</v>
      </c>
      <c r="M3" t="str">
        <f t="shared" ref="M3:M10" si="2">RIGHT(H3,4)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3" t="s">
        <v>49</v>
      </c>
      <c r="I4" s="3" t="s">
        <v>57</v>
      </c>
      <c r="J4" s="1" t="s">
        <v>40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3" t="s">
        <v>50</v>
      </c>
      <c r="I5" s="3" t="s">
        <v>58</v>
      </c>
      <c r="J5" s="1" t="s">
        <v>41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3" t="s">
        <v>51</v>
      </c>
      <c r="I6" s="3" t="s">
        <v>59</v>
      </c>
      <c r="J6" s="1" t="s">
        <v>42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3" t="s">
        <v>51</v>
      </c>
      <c r="I7" s="3" t="s">
        <v>60</v>
      </c>
      <c r="J7" s="1" t="s">
        <v>43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3" t="s">
        <v>52</v>
      </c>
      <c r="I8" s="3" t="s">
        <v>60</v>
      </c>
      <c r="J8" s="1" t="s">
        <v>44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3" t="s">
        <v>53</v>
      </c>
      <c r="I9" s="3" t="s">
        <v>61</v>
      </c>
      <c r="J9" s="1" t="s">
        <v>45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3" t="s">
        <v>54</v>
      </c>
      <c r="I10" s="3" t="s">
        <v>61</v>
      </c>
      <c r="J10" s="1" t="s">
        <v>46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  <row r="12" spans="1:13" x14ac:dyDescent="0.3">
      <c r="K12" t="s">
        <v>93</v>
      </c>
    </row>
    <row r="13" spans="1:13" x14ac:dyDescent="0.3">
      <c r="L13" t="s">
        <v>94</v>
      </c>
    </row>
    <row r="14" spans="1:13" x14ac:dyDescent="0.3">
      <c r="M14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L13"/>
  <sheetViews>
    <sheetView workbookViewId="0">
      <selection activeCell="L13" sqref="L13"/>
    </sheetView>
  </sheetViews>
  <sheetFormatPr defaultColWidth="13.69921875" defaultRowHeight="14.4" x14ac:dyDescent="0.3"/>
  <cols>
    <col min="1" max="1" width="10.796875" bestFit="1" customWidth="1"/>
    <col min="4" max="4" width="7.69921875" customWidth="1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69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>
        <f>RIGHT(H2,2)</f>
        <v>97</v>
      </c>
      <c r="K2" s="2" t="str">
        <f>TEXT(H2,"dd/mm/yyyy")</f>
        <v>02/11/2001</v>
      </c>
      <c r="L2" t="str">
        <f>RIGHT(K2,4)</f>
        <v>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f t="shared" ref="J3:J10" si="0">RIGHT(H3,2)</f>
        <v>36</v>
      </c>
      <c r="K3" s="2" t="str">
        <f t="shared" ref="K3:K10" si="1">TEXT(H3,"dd/mm/yyyy")</f>
        <v>03/10/1999</v>
      </c>
      <c r="L3" t="str">
        <f t="shared" ref="L3:L10" si="2">RIGHT(K3,4)</f>
        <v>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f t="shared" si="0"/>
        <v>11</v>
      </c>
      <c r="K4" s="2" t="str">
        <f t="shared" si="1"/>
        <v>04/07/2000</v>
      </c>
      <c r="L4" t="str">
        <f t="shared" si="2"/>
        <v>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30</v>
      </c>
      <c r="K5" s="2" t="str">
        <f t="shared" si="1"/>
        <v>05/01/2000</v>
      </c>
      <c r="L5" t="str">
        <f t="shared" si="2"/>
        <v>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f t="shared" si="0"/>
        <v>17</v>
      </c>
      <c r="K6" s="2" t="str">
        <f t="shared" si="1"/>
        <v>06/05/2001</v>
      </c>
      <c r="L6" t="str">
        <f t="shared" si="2"/>
        <v>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f t="shared" si="0"/>
        <v>40</v>
      </c>
      <c r="K7" s="2" t="str">
        <f t="shared" si="1"/>
        <v>07/12/1995</v>
      </c>
      <c r="L7" t="str">
        <f t="shared" si="2"/>
        <v>1995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f t="shared" si="0"/>
        <v>33</v>
      </c>
      <c r="K8" s="2" t="str">
        <f t="shared" si="1"/>
        <v>08/11/2003</v>
      </c>
      <c r="L8" t="str">
        <f t="shared" si="2"/>
        <v>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f t="shared" si="0"/>
        <v>16</v>
      </c>
      <c r="K9" s="2" t="str">
        <f t="shared" si="1"/>
        <v>09/06/2002</v>
      </c>
      <c r="L9" t="str">
        <f t="shared" si="2"/>
        <v>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43</v>
      </c>
      <c r="K10" s="2" t="str">
        <f t="shared" si="1"/>
        <v>10/08/2003</v>
      </c>
      <c r="L10" t="str">
        <f t="shared" si="2"/>
        <v>2003</v>
      </c>
    </row>
    <row r="12" spans="1:12" x14ac:dyDescent="0.3">
      <c r="H12" s="1"/>
      <c r="J12" t="s">
        <v>90</v>
      </c>
      <c r="K12" t="s">
        <v>91</v>
      </c>
      <c r="L12" t="s">
        <v>92</v>
      </c>
    </row>
    <row r="13" spans="1:12" x14ac:dyDescent="0.3">
      <c r="H13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2"/>
  <sheetViews>
    <sheetView workbookViewId="0">
      <selection activeCell="J13" sqref="J13"/>
    </sheetView>
  </sheetViews>
  <sheetFormatPr defaultColWidth="13.69921875" defaultRowHeight="14.4" x14ac:dyDescent="0.3"/>
  <cols>
    <col min="1" max="1" width="10.796875" bestFit="1" customWidth="1"/>
    <col min="4" max="4" width="7.69921875" customWidth="1"/>
  </cols>
  <sheetData>
    <row r="1" spans="1:11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67</v>
      </c>
      <c r="K1" t="s">
        <v>68</v>
      </c>
    </row>
    <row r="2" spans="1:11" x14ac:dyDescent="0.3">
      <c r="A2">
        <v>1001</v>
      </c>
      <c r="B2" s="3" t="s">
        <v>2</v>
      </c>
      <c r="C2" s="3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>
        <f>TRIM(C2)</f>
        <v>Halpert</v>
      </c>
    </row>
    <row r="3" spans="1:11" x14ac:dyDescent="0.3">
      <c r="A3">
        <v>1002</v>
      </c>
      <c r="B3" s="3" t="s">
        <v>4</v>
      </c>
      <c r="C3" s="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f t="shared" ref="J3:J10" si="0">TRIM(C3)</f>
        <v>Beasley</v>
      </c>
    </row>
    <row r="4" spans="1:11" x14ac:dyDescent="0.3">
      <c r="A4">
        <v>1003</v>
      </c>
      <c r="B4" s="3" t="s">
        <v>6</v>
      </c>
      <c r="C4" s="3" t="s">
        <v>66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3" t="s">
        <v>13</v>
      </c>
      <c r="C5" s="3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3" t="s">
        <v>14</v>
      </c>
      <c r="C6" s="3" t="s">
        <v>65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3" t="s">
        <v>8</v>
      </c>
      <c r="C7" s="3" t="s">
        <v>64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3" t="s">
        <v>32</v>
      </c>
      <c r="C8" s="3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3" t="s">
        <v>16</v>
      </c>
      <c r="C9" s="3" t="s">
        <v>63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3" t="s">
        <v>10</v>
      </c>
      <c r="C10" s="3" t="s">
        <v>62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  <row r="12" spans="1:11" x14ac:dyDescent="0.3">
      <c r="J12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12" sqref="L12"/>
    </sheetView>
  </sheetViews>
  <sheetFormatPr defaultColWidth="13.69921875" defaultRowHeight="14.4" x14ac:dyDescent="0.3"/>
  <cols>
    <col min="1" max="1" width="10.796875" bestFit="1" customWidth="1"/>
    <col min="4" max="4" width="7.69921875" customWidth="1"/>
    <col min="7" max="7" width="13.69921875" style="2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s="2" t="s">
        <v>21</v>
      </c>
      <c r="H1" t="s">
        <v>35</v>
      </c>
      <c r="I1" t="s">
        <v>36</v>
      </c>
      <c r="J1" t="s">
        <v>70</v>
      </c>
      <c r="K1" t="s">
        <v>71</v>
      </c>
      <c r="L1" t="s">
        <v>72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 s="2">
        <v>45000</v>
      </c>
      <c r="H2" s="3" t="s">
        <v>47</v>
      </c>
      <c r="I2" s="3" t="s">
        <v>55</v>
      </c>
      <c r="J2" t="str">
        <f>SUBSTITUTE(I2,"/","-",1)</f>
        <v>9-6/2015</v>
      </c>
      <c r="K2" t="str">
        <f>SUBSTITUTE(I2,"/","-",2)</f>
        <v>9/6-2015</v>
      </c>
      <c r="L2" t="str">
        <f>SUBSTITUTE(I2,"/","-")</f>
        <v>9-6-2015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 s="2">
        <v>36000</v>
      </c>
      <c r="H3" s="3" t="s">
        <v>48</v>
      </c>
      <c r="I3" s="3" t="s">
        <v>56</v>
      </c>
      <c r="J3" t="str">
        <f t="shared" ref="J3:J10" si="0">SUBSTITUTE(I3,"/","-",1)</f>
        <v>10-10/2015</v>
      </c>
      <c r="K3" t="str">
        <f t="shared" ref="K3:K10" si="1">SUBSTITUTE(I3,"/","-",2)</f>
        <v>10/10-2015</v>
      </c>
      <c r="L3" t="str">
        <f t="shared" ref="L3:L10" si="2">SUBSTITUTE(I3,"/","-")</f>
        <v>10-10-2015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 s="2">
        <v>63000</v>
      </c>
      <c r="H4" s="3" t="s">
        <v>49</v>
      </c>
      <c r="I4" s="3" t="s">
        <v>57</v>
      </c>
      <c r="J4" t="str">
        <f t="shared" si="0"/>
        <v>9-8/2017</v>
      </c>
      <c r="K4" t="str">
        <f t="shared" si="1"/>
        <v>9/8-2017</v>
      </c>
      <c r="L4" t="str">
        <f t="shared" si="2"/>
        <v>9-8-2017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 s="2">
        <v>47000</v>
      </c>
      <c r="H5" s="3" t="s">
        <v>50</v>
      </c>
      <c r="I5" s="3" t="s">
        <v>58</v>
      </c>
      <c r="J5" t="str">
        <f t="shared" si="0"/>
        <v>12-3/2015</v>
      </c>
      <c r="K5" t="str">
        <f t="shared" si="1"/>
        <v>12/3-2015</v>
      </c>
      <c r="L5" t="str">
        <f t="shared" si="2"/>
        <v>12-3-2015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 s="2">
        <v>50000</v>
      </c>
      <c r="H6" s="3" t="s">
        <v>51</v>
      </c>
      <c r="I6" s="3" t="s">
        <v>59</v>
      </c>
      <c r="J6" t="str">
        <f t="shared" si="0"/>
        <v>8-30/2017</v>
      </c>
      <c r="K6" t="str">
        <f t="shared" si="1"/>
        <v>8/30-2017</v>
      </c>
      <c r="L6" t="str">
        <f t="shared" si="2"/>
        <v>8-30-2017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 s="2">
        <v>65000</v>
      </c>
      <c r="H7" s="3" t="s">
        <v>51</v>
      </c>
      <c r="I7" s="3" t="s">
        <v>60</v>
      </c>
      <c r="J7" t="str">
        <f t="shared" si="0"/>
        <v>9-11/2013</v>
      </c>
      <c r="K7" t="str">
        <f t="shared" si="1"/>
        <v>9/11-2013</v>
      </c>
      <c r="L7" t="str">
        <f t="shared" si="2"/>
        <v>9-11-2013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 s="2">
        <v>41000</v>
      </c>
      <c r="H8" s="3" t="s">
        <v>52</v>
      </c>
      <c r="I8" s="3" t="s">
        <v>60</v>
      </c>
      <c r="J8" t="str">
        <f t="shared" si="0"/>
        <v>9-11/2013</v>
      </c>
      <c r="K8" t="str">
        <f t="shared" si="1"/>
        <v>9/11-2013</v>
      </c>
      <c r="L8" t="str">
        <f t="shared" si="2"/>
        <v>9-11-2013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 s="2">
        <v>48000</v>
      </c>
      <c r="H9" s="3" t="s">
        <v>53</v>
      </c>
      <c r="I9" s="3" t="s">
        <v>61</v>
      </c>
      <c r="J9" t="str">
        <f t="shared" si="0"/>
        <v>4-22/2015</v>
      </c>
      <c r="K9" t="str">
        <f t="shared" si="1"/>
        <v>4/22-2015</v>
      </c>
      <c r="L9" t="str">
        <f t="shared" si="2"/>
        <v>4-22-2015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 s="2">
        <v>42000</v>
      </c>
      <c r="H10" s="3" t="s">
        <v>54</v>
      </c>
      <c r="I10" s="3" t="s">
        <v>61</v>
      </c>
      <c r="J10" t="str">
        <f t="shared" si="0"/>
        <v>4-22/2015</v>
      </c>
      <c r="K10" t="str">
        <f t="shared" si="1"/>
        <v>4/22-2015</v>
      </c>
      <c r="L10" t="str">
        <f t="shared" si="2"/>
        <v>4-22-2015</v>
      </c>
    </row>
    <row r="12" spans="1:12" x14ac:dyDescent="0.3">
      <c r="H12" s="3"/>
      <c r="I12" s="3"/>
      <c r="J12" t="s">
        <v>88</v>
      </c>
      <c r="K12" t="s">
        <v>88</v>
      </c>
      <c r="L12" t="s">
        <v>88</v>
      </c>
    </row>
    <row r="13" spans="1:12" x14ac:dyDescent="0.3">
      <c r="H13" s="3"/>
      <c r="I13" s="3"/>
    </row>
    <row r="14" spans="1:12" x14ac:dyDescent="0.3">
      <c r="H14" s="3"/>
      <c r="I14" s="3"/>
    </row>
    <row r="15" spans="1:12" x14ac:dyDescent="0.3">
      <c r="H15" s="3"/>
      <c r="I15" s="3"/>
    </row>
    <row r="16" spans="1:12" x14ac:dyDescent="0.3">
      <c r="H16" s="3"/>
      <c r="I16" s="3"/>
    </row>
    <row r="17" spans="8:9" x14ac:dyDescent="0.3">
      <c r="H17" s="3"/>
      <c r="I17" s="3"/>
    </row>
    <row r="18" spans="8:9" x14ac:dyDescent="0.3">
      <c r="H18" s="3"/>
      <c r="I18" s="3"/>
    </row>
    <row r="19" spans="8:9" x14ac:dyDescent="0.3">
      <c r="H19" s="3"/>
      <c r="I19" s="3"/>
    </row>
    <row r="20" spans="8:9" x14ac:dyDescent="0.3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3"/>
  <sheetViews>
    <sheetView workbookViewId="0">
      <selection activeCell="L14" sqref="L14"/>
    </sheetView>
  </sheetViews>
  <sheetFormatPr defaultColWidth="13" defaultRowHeight="14.4" x14ac:dyDescent="0.3"/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73</v>
      </c>
      <c r="K1" t="s">
        <v>74</v>
      </c>
      <c r="L1" t="s">
        <v>75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SUMIF(G2:G10,"&gt;60000")</f>
        <v>128000</v>
      </c>
      <c r="L2">
        <f>SUMIFS(G2:G10,D2:D10,"&gt;30",E2:E10,"Female")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  <row r="12" spans="1:12" x14ac:dyDescent="0.3">
      <c r="J12" t="s">
        <v>100</v>
      </c>
      <c r="K12" t="s">
        <v>101</v>
      </c>
    </row>
    <row r="13" spans="1:12" x14ac:dyDescent="0.3">
      <c r="L1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4"/>
  <sheetViews>
    <sheetView workbookViewId="0">
      <selection activeCell="L15" sqref="L15"/>
    </sheetView>
  </sheetViews>
  <sheetFormatPr defaultColWidth="13.69921875" defaultRowHeight="14.4" x14ac:dyDescent="0.3"/>
  <cols>
    <col min="1" max="1" width="10.796875" bestFit="1" customWidth="1"/>
    <col min="4" max="4" width="7.69921875" customWidth="1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76</v>
      </c>
      <c r="K1" t="s">
        <v>77</v>
      </c>
      <c r="L1" t="s">
        <v>78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</row>
    <row r="12" spans="1:12" x14ac:dyDescent="0.3">
      <c r="J12" t="s">
        <v>103</v>
      </c>
    </row>
    <row r="13" spans="1:12" x14ac:dyDescent="0.3">
      <c r="K13" t="s">
        <v>104</v>
      </c>
    </row>
    <row r="14" spans="1:12" x14ac:dyDescent="0.3">
      <c r="L14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L7" sqref="L7"/>
    </sheetView>
  </sheetViews>
  <sheetFormatPr defaultRowHeight="14.4" x14ac:dyDescent="0.3"/>
  <cols>
    <col min="2" max="2" width="10.3984375" customWidth="1"/>
    <col min="3" max="5" width="10.69921875" customWidth="1"/>
    <col min="6" max="6" width="16.59765625" customWidth="1"/>
    <col min="8" max="8" width="14.19921875" customWidth="1"/>
    <col min="9" max="9" width="14.796875" customWidth="1"/>
    <col min="10" max="10" width="22" bestFit="1" customWidth="1"/>
  </cols>
  <sheetData>
    <row r="1" spans="1:10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t="s">
        <v>21</v>
      </c>
      <c r="H1" t="s">
        <v>35</v>
      </c>
      <c r="I1" t="s">
        <v>36</v>
      </c>
      <c r="J1" t="s">
        <v>18</v>
      </c>
    </row>
    <row r="2" spans="1:10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</row>
    <row r="3" spans="1:10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</row>
    <row r="4" spans="1:10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3">
      <c r="H11" t="str">
        <f t="shared" ref="H11:H12" si="1">CONCATENATE(B11," ",C11)</f>
        <v xml:space="preserve"> </v>
      </c>
    </row>
    <row r="12" spans="1:10" x14ac:dyDescent="0.3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2"/>
  <sheetViews>
    <sheetView tabSelected="1" topLeftCell="G1" workbookViewId="0">
      <selection activeCell="M16" sqref="M16"/>
    </sheetView>
  </sheetViews>
  <sheetFormatPr defaultRowHeight="14.4" x14ac:dyDescent="0.3"/>
  <cols>
    <col min="8" max="8" width="14.3984375" customWidth="1"/>
    <col min="9" max="9" width="13.296875" customWidth="1"/>
    <col min="10" max="10" width="20.796875" customWidth="1"/>
    <col min="11" max="11" width="19.69921875" customWidth="1"/>
  </cols>
  <sheetData>
    <row r="1" spans="1:12" x14ac:dyDescent="0.3">
      <c r="A1" t="s">
        <v>19</v>
      </c>
      <c r="B1" t="s">
        <v>0</v>
      </c>
      <c r="C1" t="s">
        <v>1</v>
      </c>
      <c r="D1" t="s">
        <v>22</v>
      </c>
      <c r="E1" t="s">
        <v>23</v>
      </c>
      <c r="F1" t="s">
        <v>20</v>
      </c>
      <c r="G1" s="2" t="s">
        <v>21</v>
      </c>
      <c r="H1" t="s">
        <v>35</v>
      </c>
      <c r="I1" t="s">
        <v>36</v>
      </c>
      <c r="J1" t="s">
        <v>83</v>
      </c>
      <c r="K1" t="s">
        <v>84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25</v>
      </c>
      <c r="F2" t="s">
        <v>24</v>
      </c>
      <c r="G2" s="2">
        <v>45000</v>
      </c>
      <c r="H2" s="1">
        <v>37197</v>
      </c>
      <c r="I2" s="1">
        <v>42253</v>
      </c>
      <c r="J2">
        <f>_xlfn.DAYS(I2,H2)</f>
        <v>5056</v>
      </c>
      <c r="K2">
        <f>NETWORKDAYS(H2,I2)</f>
        <v>3611</v>
      </c>
      <c r="L2">
        <f>_xlfn.DAYS(I2,H2)</f>
        <v>5056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27</v>
      </c>
      <c r="F3" t="s">
        <v>26</v>
      </c>
      <c r="G3" s="2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NETWORKDAYS(H3,I3)</f>
        <v>4180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25</v>
      </c>
      <c r="F4" t="s">
        <v>24</v>
      </c>
      <c r="G4" s="2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27</v>
      </c>
      <c r="F5" t="s">
        <v>28</v>
      </c>
      <c r="G5" s="2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25</v>
      </c>
      <c r="F6" t="s">
        <v>29</v>
      </c>
      <c r="G6" s="2">
        <v>50000</v>
      </c>
      <c r="H6" s="1">
        <v>37017</v>
      </c>
      <c r="I6" s="1">
        <v>42977</v>
      </c>
      <c r="J6">
        <f t="shared" si="0"/>
        <v>5960</v>
      </c>
      <c r="K6">
        <f t="shared" si="1"/>
        <v>4258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25</v>
      </c>
      <c r="F7" t="s">
        <v>30</v>
      </c>
      <c r="G7" s="2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2" x14ac:dyDescent="0.3">
      <c r="A8">
        <v>1007</v>
      </c>
      <c r="B8" t="s">
        <v>32</v>
      </c>
      <c r="C8" t="s">
        <v>33</v>
      </c>
      <c r="D8">
        <v>32</v>
      </c>
      <c r="E8" t="s">
        <v>27</v>
      </c>
      <c r="F8" t="s">
        <v>31</v>
      </c>
      <c r="G8" s="2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25</v>
      </c>
      <c r="F9" t="s">
        <v>24</v>
      </c>
      <c r="G9" s="2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25</v>
      </c>
      <c r="F10" t="s">
        <v>28</v>
      </c>
      <c r="G10" s="2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  <row r="12" spans="1:12" x14ac:dyDescent="0.3">
      <c r="C1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2021-12-16T14:18:34Z</dcterms:created>
  <dcterms:modified xsi:type="dcterms:W3CDTF">2026-06-14T03:51:54Z</dcterms:modified>
</cp:coreProperties>
</file>